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Shuai\Desktop\2026 Summer Internship\小项目\Interest Rate Sensitivity &amp; Liquidity Stress Test\"/>
    </mc:Choice>
  </mc:AlternateContent>
  <xr:revisionPtr revIDLastSave="0" documentId="13_ncr:1_{060AB669-EBC9-4F16-8707-74B64E81E35D}" xr6:coauthVersionLast="47" xr6:coauthVersionMax="47" xr10:uidLastSave="{00000000-0000-0000-0000-000000000000}"/>
  <bookViews>
    <workbookView xWindow="-108" yWindow="-108" windowWidth="23256" windowHeight="12456" activeTab="2" xr2:uid="{00000000-000D-0000-FFFF-FFFF00000000}"/>
  </bookViews>
  <sheets>
    <sheet name="Inputs" sheetId="1" r:id="rId1"/>
    <sheet name="Model" sheetId="2" r:id="rId2"/>
    <sheet name="Result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2" l="1"/>
  <c r="B2" i="2"/>
  <c r="D2" i="2" s="1"/>
  <c r="M13" i="2"/>
  <c r="H13" i="2"/>
  <c r="M9" i="2"/>
  <c r="H9" i="2"/>
  <c r="L9" i="2"/>
  <c r="L10" i="2"/>
  <c r="L12" i="2"/>
  <c r="L13" i="2"/>
  <c r="L8" i="2"/>
  <c r="N8" i="2" s="1"/>
  <c r="G13" i="2"/>
  <c r="G12" i="2"/>
  <c r="G10" i="2"/>
  <c r="G9" i="2"/>
  <c r="G8" i="2"/>
  <c r="I8" i="2" s="1"/>
  <c r="C13" i="2"/>
  <c r="B9" i="2"/>
  <c r="B10" i="2"/>
  <c r="B21" i="2" s="1"/>
  <c r="B23" i="2" s="1"/>
  <c r="B12" i="2"/>
  <c r="B25" i="2" s="1"/>
  <c r="B27" i="2" s="1"/>
  <c r="B13" i="2"/>
  <c r="B8" i="2"/>
  <c r="D8" i="2" s="1"/>
  <c r="D4" i="2" l="1"/>
  <c r="M12" i="2" s="1"/>
  <c r="D3" i="2"/>
  <c r="M10" i="2" s="1"/>
  <c r="N10" i="2" s="1"/>
  <c r="C2" i="2"/>
  <c r="B3" i="2"/>
  <c r="C10" i="2" s="1"/>
  <c r="D10" i="2" s="1"/>
  <c r="B15" i="2" s="1"/>
  <c r="B4" i="2"/>
  <c r="C12" i="2" s="1"/>
  <c r="D12" i="2" s="1"/>
  <c r="N12" i="2"/>
  <c r="B29" i="2"/>
  <c r="G3" i="3" s="1"/>
  <c r="B30" i="2"/>
  <c r="H3" i="3" s="1"/>
  <c r="D9" i="2"/>
  <c r="I13" i="2"/>
  <c r="N13" i="2"/>
  <c r="D13" i="2"/>
  <c r="N9" i="2"/>
  <c r="I9" i="2"/>
  <c r="C4" i="2" l="1"/>
  <c r="H12" i="2" s="1"/>
  <c r="I12" i="2" s="1"/>
  <c r="G16" i="2" s="1"/>
  <c r="C3" i="2"/>
  <c r="H10" i="2" s="1"/>
  <c r="I10" i="2" s="1"/>
  <c r="H4" i="3"/>
  <c r="H5" i="3"/>
  <c r="L15" i="2"/>
  <c r="L16" i="2"/>
  <c r="B16" i="2"/>
  <c r="B17" i="2" s="1"/>
  <c r="B3" i="3" s="1"/>
  <c r="G4" i="3"/>
  <c r="G5" i="3"/>
  <c r="G15" i="2"/>
  <c r="C3" i="3" l="1"/>
  <c r="D3" i="3"/>
  <c r="L17" i="2"/>
  <c r="B5" i="3" s="1"/>
  <c r="G17" i="2"/>
  <c r="B4" i="3" s="1"/>
  <c r="D4" i="3" l="1"/>
  <c r="C4" i="3"/>
  <c r="D5" i="3"/>
  <c r="C5" i="3"/>
</calcChain>
</file>

<file path=xl/sharedStrings.xml><?xml version="1.0" encoding="utf-8"?>
<sst xmlns="http://schemas.openxmlformats.org/spreadsheetml/2006/main" count="117" uniqueCount="77">
  <si>
    <t>Balance Sheet</t>
  </si>
  <si>
    <t>Asset</t>
  </si>
  <si>
    <t>Variable-rate Loan</t>
  </si>
  <si>
    <t>Fixed-rate Bond</t>
  </si>
  <si>
    <t>Cash</t>
  </si>
  <si>
    <t>Liabilities</t>
  </si>
  <si>
    <t>Short term debt</t>
  </si>
  <si>
    <t>Rate Assumptions</t>
  </si>
  <si>
    <t>Loan spread</t>
  </si>
  <si>
    <t>Short term debt spread</t>
  </si>
  <si>
    <t>Long term debt fixed rate</t>
  </si>
  <si>
    <t>Bond coupon (fixed)</t>
  </si>
  <si>
    <t>Liquidity</t>
  </si>
  <si>
    <t>Liquidity Stress Assumptions</t>
  </si>
  <si>
    <t>30-day cash inflow from loan (% of notional)</t>
  </si>
  <si>
    <t>30-day cash outflow: ST debt rollover (% of ST debt)</t>
  </si>
  <si>
    <t>30-day cash outflow: deposit/other (set to 0 for simplicity)</t>
  </si>
  <si>
    <t>Balance</t>
  </si>
  <si>
    <t>Policy/Market Rate (r)</t>
  </si>
  <si>
    <t>Scenario</t>
  </si>
  <si>
    <t>Base</t>
  </si>
  <si>
    <t>Up 100bps</t>
  </si>
  <si>
    <t>Down 100bps</t>
  </si>
  <si>
    <t>Shock</t>
  </si>
  <si>
    <t>Long term debt</t>
  </si>
  <si>
    <t>Up</t>
  </si>
  <si>
    <t>Down</t>
  </si>
  <si>
    <t>Interest Income_base</t>
  </si>
  <si>
    <t>Interest Expense_base</t>
  </si>
  <si>
    <t>Interest Income_down</t>
  </si>
  <si>
    <t>Interest Expense_down</t>
  </si>
  <si>
    <t>Loan inflow</t>
  </si>
  <si>
    <t>Bond inflow</t>
  </si>
  <si>
    <t>Total inflow</t>
  </si>
  <si>
    <t>30-day cash flow</t>
  </si>
  <si>
    <t>30-day inflows</t>
  </si>
  <si>
    <t>30-day outflows</t>
  </si>
  <si>
    <t>ST debt outflow</t>
  </si>
  <si>
    <t>other outflow</t>
  </si>
  <si>
    <t>Total outflow</t>
  </si>
  <si>
    <t>Net Cash after stress</t>
  </si>
  <si>
    <t>Simplified LCR</t>
  </si>
  <si>
    <t>NII_base</t>
  </si>
  <si>
    <t>NII_down</t>
  </si>
  <si>
    <t>Up (+100bps)</t>
  </si>
  <si>
    <t>Down (-100bps)</t>
  </si>
  <si>
    <t>NII</t>
  </si>
  <si>
    <t>NII under scenarios</t>
  </si>
  <si>
    <t>Cash after stress</t>
  </si>
  <si>
    <t>LCR</t>
  </si>
  <si>
    <t>Identified key exposure drivers: proportion of variable-rate loans, short-term debt reliance, and initial cash buffer.</t>
  </si>
  <si>
    <r>
      <t xml:space="preserve">Liquidity stress test shows 30-day cash position remains </t>
    </r>
    <r>
      <rPr>
        <b/>
        <sz val="11"/>
        <color theme="1"/>
        <rFont val="Calibri"/>
        <family val="2"/>
        <scheme val="minor"/>
      </rPr>
      <t>positive</t>
    </r>
    <r>
      <rPr>
        <sz val="11"/>
        <color theme="1"/>
        <rFont val="Calibri"/>
        <family val="2"/>
        <scheme val="minor"/>
      </rPr>
      <t xml:space="preserve"> given assumed runoff rates.</t>
    </r>
  </si>
  <si>
    <t>Value</t>
  </si>
  <si>
    <t>Rate (Base)</t>
  </si>
  <si>
    <t>Annual Interest (Base)</t>
  </si>
  <si>
    <t>Rate (Up)</t>
  </si>
  <si>
    <t>Annual Interest (Up)</t>
  </si>
  <si>
    <t>Rate (Down)</t>
  </si>
  <si>
    <t>Annual Interest (Down)</t>
  </si>
  <si>
    <r>
      <rPr>
        <b/>
        <sz val="11"/>
        <color theme="1"/>
        <rFont val="Calibri"/>
        <family val="2"/>
        <scheme val="minor"/>
      </rPr>
      <t xml:space="preserve">Model Objective: </t>
    </r>
    <r>
      <rPr>
        <sz val="11"/>
        <color theme="1"/>
        <rFont val="Calibri"/>
        <family val="2"/>
        <scheme val="minor"/>
      </rPr>
      <t>Assess interest rate and liquidity risk under +/- 100bps shocks using a simplified asset-liability framework</t>
    </r>
  </si>
  <si>
    <t xml:space="preserve">Amount </t>
  </si>
  <si>
    <t xml:space="preserve">Item </t>
  </si>
  <si>
    <t>+100 bps</t>
  </si>
  <si>
    <t>-100 bps</t>
  </si>
  <si>
    <t>Market rate</t>
  </si>
  <si>
    <t>Loan rate</t>
  </si>
  <si>
    <t>ST debt rate</t>
  </si>
  <si>
    <t>Items</t>
  </si>
  <si>
    <t>Net Interest Income (NII)</t>
  </si>
  <si>
    <t>Net Cash Flow</t>
  </si>
  <si>
    <t>Results:</t>
  </si>
  <si>
    <r>
      <rPr>
        <b/>
        <sz val="11"/>
        <color theme="1"/>
        <rFont val="Calibri"/>
        <family val="2"/>
        <scheme val="minor"/>
      </rPr>
      <t xml:space="preserve">Units/Convention: </t>
    </r>
    <r>
      <rPr>
        <sz val="11"/>
        <color theme="1"/>
        <rFont val="Calibri"/>
        <family val="2"/>
        <scheme val="minor"/>
      </rPr>
      <t>Amounts in CAD; rates annualized; NII annualized; liquidity metrics 30-day horizon</t>
    </r>
  </si>
  <si>
    <t>ΔNII</t>
  </si>
  <si>
    <t>ΔNII%</t>
  </si>
  <si>
    <r>
      <t xml:space="preserve">Under +/-100bps, NII </t>
    </r>
    <r>
      <rPr>
        <b/>
        <sz val="11"/>
        <color theme="1"/>
        <rFont val="Calibri"/>
        <family val="2"/>
        <scheme val="minor"/>
      </rPr>
      <t>increases/decreases by 20000</t>
    </r>
    <r>
      <rPr>
        <sz val="11"/>
        <color theme="1"/>
        <rFont val="Calibri"/>
        <family val="2"/>
        <scheme val="minor"/>
      </rPr>
      <t xml:space="preserve"> or 9.76% due to the re-pricing gap between variable-rate assets and short-term funding.</t>
    </r>
  </si>
  <si>
    <r>
      <t>Notes:</t>
    </r>
    <r>
      <rPr>
        <sz val="11"/>
        <color theme="1"/>
        <rFont val="Calibri"/>
        <family val="2"/>
        <scheme val="minor"/>
      </rPr>
      <t xml:space="preserve"> For simplicity, I held liquidity runoff assumptions constant across scenarios to isolate interest rate effects. In practice, liquidity and rate shocks can be linked, but I wanted to focus on core rate sensitivity.</t>
    </r>
  </si>
  <si>
    <t>Since liquidity runoff and inflow assumptions are held constant across scenarios, liquidity metrics do not vary by rate scenario. This is intended to illustrate model structure rather than dynamic funding stress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</si>
</sst>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_ ;\-#,##0\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57">
    <xf numFmtId="0" fontId="0" fillId="0" borderId="0" xfId="0"/>
    <xf numFmtId="0" fontId="2" fillId="2" borderId="1" xfId="0" applyFont="1" applyFill="1" applyBorder="1"/>
    <xf numFmtId="0" fontId="0" fillId="0" borderId="1" xfId="0" applyBorder="1"/>
    <xf numFmtId="164" fontId="0" fillId="3" borderId="1" xfId="2" applyNumberFormat="1" applyFont="1" applyFill="1" applyBorder="1"/>
    <xf numFmtId="10" fontId="0" fillId="3" borderId="1" xfId="1" applyNumberFormat="1" applyFont="1" applyFill="1" applyBorder="1"/>
    <xf numFmtId="0" fontId="0" fillId="0" borderId="4" xfId="0" applyBorder="1"/>
    <xf numFmtId="0" fontId="2" fillId="2" borderId="8" xfId="0" applyFont="1" applyFill="1" applyBorder="1"/>
    <xf numFmtId="0" fontId="0" fillId="0" borderId="5" xfId="0" applyBorder="1"/>
    <xf numFmtId="0" fontId="2" fillId="4" borderId="1" xfId="0" applyFont="1" applyFill="1" applyBorder="1"/>
    <xf numFmtId="0" fontId="2" fillId="4" borderId="1" xfId="0" quotePrefix="1" applyFont="1" applyFill="1" applyBorder="1"/>
    <xf numFmtId="10" fontId="0" fillId="3" borderId="1" xfId="0" applyNumberFormat="1" applyFill="1" applyBorder="1"/>
    <xf numFmtId="10" fontId="2" fillId="2" borderId="1" xfId="1" applyNumberFormat="1" applyFont="1" applyFill="1" applyBorder="1"/>
    <xf numFmtId="1" fontId="0" fillId="3" borderId="1" xfId="1" applyNumberFormat="1" applyFont="1" applyFill="1" applyBorder="1"/>
    <xf numFmtId="0" fontId="0" fillId="3" borderId="1" xfId="0" applyFill="1" applyBorder="1"/>
    <xf numFmtId="165" fontId="0" fillId="3" borderId="1" xfId="2" applyNumberFormat="1" applyFont="1" applyFill="1" applyBorder="1"/>
    <xf numFmtId="0" fontId="0" fillId="0" borderId="9" xfId="0" applyBorder="1"/>
    <xf numFmtId="10" fontId="0" fillId="5" borderId="0" xfId="1" applyNumberFormat="1" applyFont="1" applyFill="1"/>
    <xf numFmtId="0" fontId="2" fillId="5" borderId="10" xfId="0" applyFont="1" applyFill="1" applyBorder="1" applyAlignment="1">
      <alignment horizontal="center"/>
    </xf>
    <xf numFmtId="0" fontId="2" fillId="5" borderId="0" xfId="0" applyFont="1" applyFill="1"/>
    <xf numFmtId="0" fontId="0" fillId="5" borderId="10" xfId="0" applyFill="1" applyBorder="1" applyAlignment="1">
      <alignment wrapText="1"/>
    </xf>
    <xf numFmtId="0" fontId="0" fillId="0" borderId="3" xfId="0" applyBorder="1" applyAlignment="1">
      <alignment wrapText="1"/>
    </xf>
    <xf numFmtId="0" fontId="2" fillId="5" borderId="10" xfId="0" applyFont="1" applyFill="1" applyBorder="1" applyAlignment="1">
      <alignment wrapText="1"/>
    </xf>
    <xf numFmtId="0" fontId="0" fillId="0" borderId="6" xfId="0" applyBorder="1" applyAlignment="1">
      <alignment wrapText="1"/>
    </xf>
    <xf numFmtId="0" fontId="0" fillId="0" borderId="0" xfId="0" applyAlignment="1">
      <alignment wrapText="1"/>
    </xf>
    <xf numFmtId="0" fontId="0" fillId="5" borderId="4" xfId="0" applyFill="1" applyBorder="1"/>
    <xf numFmtId="0" fontId="0" fillId="5" borderId="7" xfId="0" applyFill="1" applyBorder="1"/>
    <xf numFmtId="10" fontId="0" fillId="5" borderId="7" xfId="0" applyNumberFormat="1" applyFill="1" applyBorder="1"/>
    <xf numFmtId="0" fontId="0" fillId="5" borderId="3" xfId="0" applyFill="1" applyBorder="1"/>
    <xf numFmtId="0" fontId="0" fillId="5" borderId="0" xfId="0" applyFill="1"/>
    <xf numFmtId="10" fontId="0" fillId="5" borderId="0" xfId="0" applyNumberFormat="1" applyFill="1"/>
    <xf numFmtId="0" fontId="0" fillId="5" borderId="10" xfId="0" applyFill="1" applyBorder="1"/>
    <xf numFmtId="10" fontId="0" fillId="0" borderId="0" xfId="0" applyNumberFormat="1"/>
    <xf numFmtId="0" fontId="0" fillId="5" borderId="5" xfId="0" applyFill="1" applyBorder="1"/>
    <xf numFmtId="0" fontId="0" fillId="5" borderId="9" xfId="0" applyFill="1" applyBorder="1"/>
    <xf numFmtId="0" fontId="0" fillId="5" borderId="6" xfId="0" applyFill="1" applyBorder="1"/>
    <xf numFmtId="0" fontId="2" fillId="5" borderId="4" xfId="0" applyFont="1" applyFill="1" applyBorder="1"/>
    <xf numFmtId="0" fontId="0" fillId="0" borderId="2" xfId="0" applyBorder="1" applyAlignment="1">
      <alignment horizontal="left" vertical="center" wrapText="1"/>
    </xf>
    <xf numFmtId="0" fontId="0" fillId="0" borderId="7" xfId="0" applyBorder="1" applyAlignment="1">
      <alignment horizontal="left" vertical="center" wrapText="1"/>
    </xf>
    <xf numFmtId="0" fontId="0" fillId="0" borderId="3" xfId="0" applyBorder="1" applyAlignment="1">
      <alignment horizontal="left" vertical="center" wrapText="1"/>
    </xf>
    <xf numFmtId="0" fontId="0" fillId="0" borderId="5" xfId="0" applyBorder="1" applyAlignment="1">
      <alignment horizontal="left" vertical="center" wrapText="1"/>
    </xf>
    <xf numFmtId="0" fontId="0" fillId="0" borderId="9" xfId="0" applyBorder="1" applyAlignment="1">
      <alignment horizontal="left" vertical="center" wrapText="1"/>
    </xf>
    <xf numFmtId="0" fontId="0" fillId="0" borderId="6" xfId="0" applyBorder="1" applyAlignment="1">
      <alignment horizontal="left" vertical="center" wrapText="1"/>
    </xf>
    <xf numFmtId="0" fontId="2" fillId="2" borderId="11" xfId="0" applyFont="1" applyFill="1" applyBorder="1" applyAlignment="1">
      <alignment horizontal="center"/>
    </xf>
    <xf numFmtId="0" fontId="2" fillId="2" borderId="12" xfId="0" applyFont="1" applyFill="1" applyBorder="1" applyAlignment="1">
      <alignment horizontal="center"/>
    </xf>
    <xf numFmtId="0" fontId="2" fillId="2" borderId="1" xfId="0" applyFont="1" applyFill="1" applyBorder="1" applyAlignment="1">
      <alignment horizontal="left"/>
    </xf>
    <xf numFmtId="0" fontId="2" fillId="2" borderId="11" xfId="0" applyFont="1" applyFill="1" applyBorder="1" applyAlignment="1">
      <alignment horizontal="left"/>
    </xf>
    <xf numFmtId="0" fontId="2" fillId="2" borderId="13" xfId="0" applyFont="1" applyFill="1" applyBorder="1" applyAlignment="1">
      <alignment horizontal="left"/>
    </xf>
    <xf numFmtId="0" fontId="2" fillId="2" borderId="12" xfId="0" applyFont="1" applyFill="1" applyBorder="1" applyAlignment="1">
      <alignment horizontal="left"/>
    </xf>
    <xf numFmtId="0" fontId="2" fillId="2" borderId="1" xfId="0" applyFont="1" applyFill="1" applyBorder="1" applyAlignment="1">
      <alignment horizontal="center" vertical="center"/>
    </xf>
    <xf numFmtId="0" fontId="2" fillId="2" borderId="1" xfId="0" applyFont="1"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5" borderId="10" xfId="0" applyFill="1" applyBorder="1" applyAlignment="1">
      <alignment horizontal="center"/>
    </xf>
    <xf numFmtId="0" fontId="0" fillId="5" borderId="5" xfId="0" applyFill="1" applyBorder="1" applyAlignment="1">
      <alignment horizontal="center"/>
    </xf>
    <xf numFmtId="0" fontId="0" fillId="5" borderId="6" xfId="0" applyFill="1" applyBorder="1" applyAlignment="1">
      <alignment horizontal="center"/>
    </xf>
    <xf numFmtId="0" fontId="0" fillId="5" borderId="1" xfId="0" applyFill="1" applyBorder="1" applyAlignment="1">
      <alignment horizontal="center"/>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9958752070328782E-2"/>
          <c:y val="0.15230638517767137"/>
          <c:w val="0.8570587899338129"/>
          <c:h val="0.73780968677670977"/>
        </c:manualLayout>
      </c:layout>
      <c:barChart>
        <c:barDir val="col"/>
        <c:grouping val="clustered"/>
        <c:varyColors val="0"/>
        <c:ser>
          <c:idx val="0"/>
          <c:order val="0"/>
          <c:tx>
            <c:strRef>
              <c:f>Results!$B$2</c:f>
              <c:strCache>
                <c:ptCount val="1"/>
                <c:pt idx="0">
                  <c:v>NII</c:v>
                </c:pt>
              </c:strCache>
            </c:strRef>
          </c:tx>
          <c:spPr>
            <a:solidFill>
              <a:schemeClr val="accent1"/>
            </a:solidFill>
            <a:ln>
              <a:noFill/>
            </a:ln>
            <a:effectLst/>
          </c:spPr>
          <c:invertIfNegative val="0"/>
          <c:cat>
            <c:strRef>
              <c:f>Results!$A$3:$A$5</c:f>
              <c:strCache>
                <c:ptCount val="3"/>
                <c:pt idx="0">
                  <c:v>Base</c:v>
                </c:pt>
                <c:pt idx="1">
                  <c:v>Up (+100bps)</c:v>
                </c:pt>
                <c:pt idx="2">
                  <c:v>Down (-100bps)</c:v>
                </c:pt>
              </c:strCache>
            </c:strRef>
          </c:cat>
          <c:val>
            <c:numRef>
              <c:f>Results!$B$3:$B$5</c:f>
              <c:numCache>
                <c:formatCode>_-* #,##0_-;\-* #,##0_-;_-* "-"??_-;_-@_-</c:formatCode>
                <c:ptCount val="3"/>
                <c:pt idx="0">
                  <c:v>205000</c:v>
                </c:pt>
                <c:pt idx="1">
                  <c:v>225000</c:v>
                </c:pt>
                <c:pt idx="2">
                  <c:v>185000</c:v>
                </c:pt>
              </c:numCache>
            </c:numRef>
          </c:val>
          <c:extLst>
            <c:ext xmlns:c16="http://schemas.microsoft.com/office/drawing/2014/chart" uri="{C3380CC4-5D6E-409C-BE32-E72D297353CC}">
              <c16:uniqueId val="{00000000-052A-40BA-9DE8-D1694441A075}"/>
            </c:ext>
          </c:extLst>
        </c:ser>
        <c:dLbls>
          <c:showLegendKey val="0"/>
          <c:showVal val="0"/>
          <c:showCatName val="0"/>
          <c:showSerName val="0"/>
          <c:showPercent val="0"/>
          <c:showBubbleSize val="0"/>
        </c:dLbls>
        <c:gapWidth val="219"/>
        <c:overlap val="-27"/>
        <c:axId val="965449264"/>
        <c:axId val="1171184032"/>
      </c:barChart>
      <c:catAx>
        <c:axId val="96544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184032"/>
        <c:crosses val="autoZero"/>
        <c:auto val="1"/>
        <c:lblAlgn val="ctr"/>
        <c:lblOffset val="100"/>
        <c:noMultiLvlLbl val="0"/>
      </c:catAx>
      <c:valAx>
        <c:axId val="117118403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44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3343</xdr:rowOff>
    </xdr:from>
    <xdr:to>
      <xdr:col>8</xdr:col>
      <xdr:colOff>0</xdr:colOff>
      <xdr:row>20</xdr:row>
      <xdr:rowOff>178837</xdr:rowOff>
    </xdr:to>
    <xdr:graphicFrame macro="">
      <xdr:nvGraphicFramePr>
        <xdr:cNvPr id="2" name="Chart 1">
          <a:extLst>
            <a:ext uri="{FF2B5EF4-FFF2-40B4-BE49-F238E27FC236}">
              <a16:creationId xmlns:a16="http://schemas.microsoft.com/office/drawing/2014/main" id="{FD6ED0D1-33F4-44FD-01E8-F672F487B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sheetPr>
  <dimension ref="A1:K14"/>
  <sheetViews>
    <sheetView zoomScaleNormal="100" workbookViewId="0">
      <selection activeCell="D22" sqref="D22"/>
    </sheetView>
  </sheetViews>
  <sheetFormatPr defaultRowHeight="14.4" x14ac:dyDescent="0.3"/>
  <cols>
    <col min="1" max="1" width="43.109375" bestFit="1" customWidth="1"/>
    <col min="2" max="2" width="15.88671875" customWidth="1"/>
    <col min="3" max="3" width="1.109375" customWidth="1"/>
    <col min="4" max="4" width="23.88671875" bestFit="1" customWidth="1"/>
    <col min="6" max="6" width="0.88671875" customWidth="1"/>
    <col min="7" max="7" width="53.6640625" bestFit="1" customWidth="1"/>
    <col min="8" max="8" width="9.109375" customWidth="1"/>
    <col min="9" max="9" width="0.88671875" customWidth="1"/>
    <col min="10" max="10" width="12.6640625" bestFit="1" customWidth="1"/>
  </cols>
  <sheetData>
    <row r="1" spans="1:11" ht="15" customHeight="1" x14ac:dyDescent="0.3">
      <c r="A1" s="36" t="s">
        <v>59</v>
      </c>
      <c r="B1" s="37"/>
      <c r="C1" s="37"/>
      <c r="D1" s="37"/>
      <c r="E1" s="37"/>
      <c r="F1" s="37"/>
      <c r="G1" s="37"/>
      <c r="H1" s="37"/>
      <c r="I1" s="37"/>
      <c r="J1" s="37"/>
      <c r="K1" s="38"/>
    </row>
    <row r="2" spans="1:11" x14ac:dyDescent="0.3">
      <c r="A2" s="39"/>
      <c r="B2" s="40"/>
      <c r="C2" s="40"/>
      <c r="D2" s="40"/>
      <c r="E2" s="40"/>
      <c r="F2" s="40"/>
      <c r="G2" s="40"/>
      <c r="H2" s="40"/>
      <c r="I2" s="40"/>
      <c r="J2" s="40"/>
      <c r="K2" s="41"/>
    </row>
    <row r="3" spans="1:11" x14ac:dyDescent="0.3">
      <c r="A3" s="36" t="s">
        <v>71</v>
      </c>
      <c r="B3" s="37"/>
      <c r="C3" s="37"/>
      <c r="D3" s="37"/>
      <c r="E3" s="37"/>
      <c r="F3" s="37"/>
      <c r="G3" s="37"/>
      <c r="H3" s="37"/>
      <c r="I3" s="37"/>
      <c r="J3" s="37"/>
      <c r="K3" s="38"/>
    </row>
    <row r="4" spans="1:11" x14ac:dyDescent="0.3">
      <c r="A4" s="42" t="s">
        <v>0</v>
      </c>
      <c r="B4" s="43"/>
      <c r="C4" s="24"/>
      <c r="D4" s="42" t="s">
        <v>7</v>
      </c>
      <c r="E4" s="43"/>
      <c r="F4" s="28"/>
      <c r="G4" s="42" t="s">
        <v>13</v>
      </c>
      <c r="H4" s="43"/>
      <c r="I4" s="28"/>
      <c r="J4" s="42" t="s">
        <v>19</v>
      </c>
      <c r="K4" s="43"/>
    </row>
    <row r="5" spans="1:11" x14ac:dyDescent="0.3">
      <c r="A5" s="1" t="s">
        <v>1</v>
      </c>
      <c r="B5" s="1" t="s">
        <v>60</v>
      </c>
      <c r="C5" s="24"/>
      <c r="D5" s="1" t="s">
        <v>67</v>
      </c>
      <c r="E5" s="11" t="s">
        <v>52</v>
      </c>
      <c r="F5" s="28"/>
      <c r="G5" s="6" t="s">
        <v>67</v>
      </c>
      <c r="H5" s="6" t="s">
        <v>52</v>
      </c>
      <c r="I5" s="28"/>
      <c r="J5" s="6" t="s">
        <v>67</v>
      </c>
      <c r="K5" s="6" t="s">
        <v>23</v>
      </c>
    </row>
    <row r="6" spans="1:11" x14ac:dyDescent="0.3">
      <c r="A6" s="2" t="s">
        <v>4</v>
      </c>
      <c r="B6" s="3">
        <v>2000000</v>
      </c>
      <c r="C6" s="24"/>
      <c r="D6" s="2" t="s">
        <v>18</v>
      </c>
      <c r="E6" s="4">
        <v>0.04</v>
      </c>
      <c r="F6" s="18"/>
      <c r="G6" s="2" t="s">
        <v>14</v>
      </c>
      <c r="H6" s="4">
        <v>0.05</v>
      </c>
      <c r="I6" s="18"/>
      <c r="J6" s="2" t="s">
        <v>20</v>
      </c>
      <c r="K6" s="4">
        <v>0</v>
      </c>
    </row>
    <row r="7" spans="1:11" x14ac:dyDescent="0.3">
      <c r="A7" s="2" t="s">
        <v>3</v>
      </c>
      <c r="B7" s="3">
        <v>5000000</v>
      </c>
      <c r="C7" s="24"/>
      <c r="D7" s="2" t="s">
        <v>8</v>
      </c>
      <c r="E7" s="4">
        <v>0.02</v>
      </c>
      <c r="F7" s="28"/>
      <c r="G7" s="2" t="s">
        <v>15</v>
      </c>
      <c r="H7" s="4">
        <v>0.2</v>
      </c>
      <c r="I7" s="28"/>
      <c r="J7" s="2" t="s">
        <v>21</v>
      </c>
      <c r="K7" s="4">
        <v>0.01</v>
      </c>
    </row>
    <row r="8" spans="1:11" x14ac:dyDescent="0.3">
      <c r="A8" s="2" t="s">
        <v>2</v>
      </c>
      <c r="B8" s="3">
        <v>8000000</v>
      </c>
      <c r="C8" s="24"/>
      <c r="D8" s="2" t="s">
        <v>9</v>
      </c>
      <c r="E8" s="4">
        <v>0.01</v>
      </c>
      <c r="F8" s="28"/>
      <c r="G8" s="2" t="s">
        <v>16</v>
      </c>
      <c r="H8" s="4">
        <v>0</v>
      </c>
      <c r="I8" s="28"/>
      <c r="J8" s="2" t="s">
        <v>22</v>
      </c>
      <c r="K8" s="4">
        <v>-0.01</v>
      </c>
    </row>
    <row r="9" spans="1:11" x14ac:dyDescent="0.3">
      <c r="A9" s="1" t="s">
        <v>5</v>
      </c>
      <c r="B9" s="1" t="s">
        <v>60</v>
      </c>
      <c r="C9" s="24"/>
      <c r="D9" s="2" t="s">
        <v>10</v>
      </c>
      <c r="E9" s="4">
        <v>0.05</v>
      </c>
      <c r="F9" s="28"/>
      <c r="G9" s="28"/>
      <c r="H9" s="28"/>
      <c r="I9" s="28"/>
      <c r="J9" s="28"/>
      <c r="K9" s="30"/>
    </row>
    <row r="10" spans="1:11" x14ac:dyDescent="0.3">
      <c r="A10" s="2" t="s">
        <v>6</v>
      </c>
      <c r="B10" s="3">
        <v>6000000</v>
      </c>
      <c r="C10" s="24"/>
      <c r="D10" s="2" t="s">
        <v>11</v>
      </c>
      <c r="E10" s="4">
        <v>4.4999999999999998E-2</v>
      </c>
      <c r="F10" s="28"/>
      <c r="G10" s="28"/>
      <c r="H10" s="28"/>
      <c r="I10" s="28"/>
      <c r="J10" s="28"/>
      <c r="K10" s="30"/>
    </row>
    <row r="11" spans="1:11" x14ac:dyDescent="0.3">
      <c r="A11" s="2" t="s">
        <v>24</v>
      </c>
      <c r="B11" s="3">
        <v>4000000</v>
      </c>
      <c r="C11" s="24"/>
      <c r="D11" s="25"/>
      <c r="E11" s="25"/>
      <c r="F11" s="28"/>
      <c r="G11" s="28"/>
      <c r="H11" s="28"/>
      <c r="I11" s="28"/>
      <c r="J11" s="28"/>
      <c r="K11" s="30"/>
    </row>
    <row r="12" spans="1:11" x14ac:dyDescent="0.3">
      <c r="A12" s="24"/>
      <c r="B12" s="28"/>
      <c r="C12" s="18"/>
      <c r="D12" s="28"/>
      <c r="E12" s="28"/>
      <c r="F12" s="28"/>
      <c r="G12" s="28"/>
      <c r="H12" s="28"/>
      <c r="I12" s="28"/>
      <c r="J12" s="28"/>
      <c r="K12" s="30"/>
    </row>
    <row r="13" spans="1:11" x14ac:dyDescent="0.3">
      <c r="A13" s="35" t="s">
        <v>75</v>
      </c>
      <c r="B13" s="28"/>
      <c r="C13" s="18"/>
      <c r="D13" s="28"/>
      <c r="E13" s="28"/>
      <c r="F13" s="28"/>
      <c r="G13" s="28"/>
      <c r="H13" s="28"/>
      <c r="I13" s="28"/>
      <c r="J13" s="28"/>
      <c r="K13" s="30"/>
    </row>
    <row r="14" spans="1:11" x14ac:dyDescent="0.3">
      <c r="A14" s="32"/>
      <c r="B14" s="33"/>
      <c r="C14" s="33"/>
      <c r="D14" s="33"/>
      <c r="E14" s="33"/>
      <c r="F14" s="33"/>
      <c r="G14" s="33"/>
      <c r="H14" s="33"/>
      <c r="I14" s="33"/>
      <c r="J14" s="33"/>
      <c r="K14" s="34"/>
    </row>
  </sheetData>
  <mergeCells count="6">
    <mergeCell ref="A1:K2"/>
    <mergeCell ref="D4:E4"/>
    <mergeCell ref="G4:H4"/>
    <mergeCell ref="J4:K4"/>
    <mergeCell ref="A3:K3"/>
    <mergeCell ref="A4:B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D8DED-369A-4992-8373-AA01BE208659}">
  <dimension ref="A1:O31"/>
  <sheetViews>
    <sheetView zoomScale="70" zoomScaleNormal="70" workbookViewId="0">
      <selection activeCell="I39" sqref="I39"/>
    </sheetView>
  </sheetViews>
  <sheetFormatPr defaultRowHeight="14.4" x14ac:dyDescent="0.3"/>
  <cols>
    <col min="1" max="1" width="24.5546875" bestFit="1" customWidth="1"/>
    <col min="2" max="2" width="13.33203125" bestFit="1" customWidth="1"/>
    <col min="3" max="3" width="13.109375" bestFit="1" customWidth="1"/>
    <col min="4" max="4" width="21" bestFit="1" customWidth="1"/>
    <col min="6" max="6" width="20.33203125" bestFit="1" customWidth="1"/>
    <col min="7" max="7" width="24.33203125" bestFit="1" customWidth="1"/>
    <col min="8" max="8" width="9.44140625" bestFit="1" customWidth="1"/>
    <col min="9" max="9" width="19.33203125" bestFit="1" customWidth="1"/>
    <col min="10" max="10" width="9.77734375" customWidth="1"/>
    <col min="11" max="11" width="23.109375" bestFit="1" customWidth="1"/>
    <col min="12" max="12" width="20.33203125" bestFit="1" customWidth="1"/>
    <col min="13" max="13" width="12" bestFit="1" customWidth="1"/>
    <col min="14" max="14" width="22.109375" bestFit="1" customWidth="1"/>
    <col min="15" max="15" width="23.109375" bestFit="1" customWidth="1"/>
    <col min="16" max="16" width="6.109375" bestFit="1" customWidth="1"/>
    <col min="17" max="17" width="23.109375" bestFit="1" customWidth="1"/>
    <col min="20" max="20" width="22.109375" bestFit="1" customWidth="1"/>
  </cols>
  <sheetData>
    <row r="1" spans="1:15" x14ac:dyDescent="0.3">
      <c r="A1" s="8" t="s">
        <v>61</v>
      </c>
      <c r="B1" s="8" t="s">
        <v>20</v>
      </c>
      <c r="C1" s="9" t="s">
        <v>62</v>
      </c>
      <c r="D1" s="9" t="s">
        <v>63</v>
      </c>
      <c r="E1" s="25"/>
      <c r="F1" s="25"/>
      <c r="G1" s="26"/>
      <c r="H1" s="25"/>
      <c r="I1" s="25"/>
      <c r="J1" s="25"/>
      <c r="K1" s="25"/>
      <c r="L1" s="26"/>
      <c r="M1" s="25"/>
      <c r="N1" s="25"/>
      <c r="O1" s="27"/>
    </row>
    <row r="2" spans="1:15" x14ac:dyDescent="0.3">
      <c r="A2" s="2" t="s">
        <v>64</v>
      </c>
      <c r="B2" s="10">
        <f>Inputs!$E$6+Inputs!$K$6</f>
        <v>0.04</v>
      </c>
      <c r="C2" s="10">
        <f>B2+Inputs!K7</f>
        <v>0.05</v>
      </c>
      <c r="D2" s="10">
        <f>B2+Inputs!K8</f>
        <v>0.03</v>
      </c>
      <c r="E2" s="28"/>
      <c r="F2" s="28"/>
      <c r="G2" s="29"/>
      <c r="H2" s="28"/>
      <c r="I2" s="28"/>
      <c r="J2" s="28"/>
      <c r="K2" s="28"/>
      <c r="L2" s="29"/>
      <c r="M2" s="28"/>
      <c r="N2" s="28"/>
      <c r="O2" s="30"/>
    </row>
    <row r="3" spans="1:15" x14ac:dyDescent="0.3">
      <c r="A3" s="2" t="s">
        <v>65</v>
      </c>
      <c r="B3" s="10">
        <f>B2+Inputs!E7</f>
        <v>0.06</v>
      </c>
      <c r="C3" s="10">
        <f>C2+Inputs!E7</f>
        <v>7.0000000000000007E-2</v>
      </c>
      <c r="D3" s="10">
        <f>D2+Inputs!E7</f>
        <v>0.05</v>
      </c>
      <c r="E3" s="28"/>
      <c r="F3" s="28"/>
      <c r="G3" s="29"/>
      <c r="H3" s="28"/>
      <c r="I3" s="28"/>
      <c r="J3" s="28"/>
      <c r="K3" s="28"/>
      <c r="L3" s="29"/>
      <c r="M3" s="28"/>
      <c r="N3" s="28"/>
      <c r="O3" s="30"/>
    </row>
    <row r="4" spans="1:15" x14ac:dyDescent="0.3">
      <c r="A4" s="2" t="s">
        <v>66</v>
      </c>
      <c r="B4" s="10">
        <f>Model!B2+Inputs!E8</f>
        <v>0.05</v>
      </c>
      <c r="C4" s="10">
        <f>C2+Inputs!E8</f>
        <v>6.0000000000000005E-2</v>
      </c>
      <c r="D4" s="10">
        <f>D2+Inputs!E8</f>
        <v>0.04</v>
      </c>
      <c r="E4" s="28"/>
      <c r="F4" s="28"/>
      <c r="G4" s="28"/>
      <c r="H4" s="28"/>
      <c r="I4" s="28"/>
      <c r="J4" s="28"/>
      <c r="K4" s="28"/>
      <c r="L4" s="28"/>
      <c r="M4" s="28"/>
      <c r="N4" s="28"/>
      <c r="O4" s="30"/>
    </row>
    <row r="5" spans="1:15" x14ac:dyDescent="0.3">
      <c r="A5" s="5"/>
      <c r="B5" s="31"/>
      <c r="C5" s="31"/>
      <c r="D5" s="31"/>
      <c r="E5" s="28"/>
      <c r="F5" s="28"/>
      <c r="G5" s="28"/>
      <c r="H5" s="28"/>
      <c r="I5" s="28"/>
      <c r="J5" s="28"/>
      <c r="K5" s="28"/>
      <c r="L5" s="28"/>
      <c r="M5" s="28"/>
      <c r="N5" s="28"/>
      <c r="O5" s="30"/>
    </row>
    <row r="6" spans="1:15" x14ac:dyDescent="0.3">
      <c r="A6" s="49" t="s">
        <v>20</v>
      </c>
      <c r="B6" s="49"/>
      <c r="C6" s="49"/>
      <c r="D6" s="49"/>
      <c r="E6" s="28"/>
      <c r="F6" s="49" t="s">
        <v>25</v>
      </c>
      <c r="G6" s="49"/>
      <c r="H6" s="49"/>
      <c r="I6" s="49"/>
      <c r="J6" s="28"/>
      <c r="K6" s="49" t="s">
        <v>26</v>
      </c>
      <c r="L6" s="49"/>
      <c r="M6" s="49"/>
      <c r="N6" s="49"/>
      <c r="O6" s="30"/>
    </row>
    <row r="7" spans="1:15" x14ac:dyDescent="0.3">
      <c r="A7" s="1" t="s">
        <v>1</v>
      </c>
      <c r="B7" s="1" t="s">
        <v>17</v>
      </c>
      <c r="C7" s="1" t="s">
        <v>53</v>
      </c>
      <c r="D7" s="1" t="s">
        <v>54</v>
      </c>
      <c r="E7" s="28"/>
      <c r="F7" s="1" t="s">
        <v>1</v>
      </c>
      <c r="G7" s="1" t="s">
        <v>17</v>
      </c>
      <c r="H7" s="1" t="s">
        <v>55</v>
      </c>
      <c r="I7" s="1" t="s">
        <v>56</v>
      </c>
      <c r="J7" s="28"/>
      <c r="K7" s="1" t="s">
        <v>1</v>
      </c>
      <c r="L7" s="1" t="s">
        <v>17</v>
      </c>
      <c r="M7" s="1" t="s">
        <v>57</v>
      </c>
      <c r="N7" s="1" t="s">
        <v>58</v>
      </c>
      <c r="O7" s="30"/>
    </row>
    <row r="8" spans="1:15" x14ac:dyDescent="0.3">
      <c r="A8" s="2" t="s">
        <v>4</v>
      </c>
      <c r="B8" s="3">
        <f>Inputs!B6</f>
        <v>2000000</v>
      </c>
      <c r="C8" s="12">
        <v>0</v>
      </c>
      <c r="D8" s="13">
        <f>B8*C8</f>
        <v>0</v>
      </c>
      <c r="E8" s="28"/>
      <c r="F8" s="2" t="s">
        <v>4</v>
      </c>
      <c r="G8" s="3">
        <f>Inputs!B6</f>
        <v>2000000</v>
      </c>
      <c r="H8" s="12">
        <v>0</v>
      </c>
      <c r="I8" s="13">
        <f>G8*H8</f>
        <v>0</v>
      </c>
      <c r="J8" s="28"/>
      <c r="K8" s="2" t="s">
        <v>4</v>
      </c>
      <c r="L8" s="3">
        <f>Inputs!B6</f>
        <v>2000000</v>
      </c>
      <c r="M8" s="12">
        <v>0</v>
      </c>
      <c r="N8" s="13">
        <f>L8*M8</f>
        <v>0</v>
      </c>
      <c r="O8" s="30"/>
    </row>
    <row r="9" spans="1:15" x14ac:dyDescent="0.3">
      <c r="A9" s="2" t="s">
        <v>3</v>
      </c>
      <c r="B9" s="3">
        <f>Inputs!B7</f>
        <v>5000000</v>
      </c>
      <c r="C9" s="4">
        <f>Inputs!E10</f>
        <v>4.4999999999999998E-2</v>
      </c>
      <c r="D9" s="3">
        <f t="shared" ref="D9:D13" si="0">B9*C9</f>
        <v>225000</v>
      </c>
      <c r="E9" s="28"/>
      <c r="F9" s="2" t="s">
        <v>3</v>
      </c>
      <c r="G9" s="3">
        <f>Inputs!B7</f>
        <v>5000000</v>
      </c>
      <c r="H9" s="4">
        <f>Inputs!E10</f>
        <v>4.4999999999999998E-2</v>
      </c>
      <c r="I9" s="3">
        <f t="shared" ref="I9:I13" si="1">G9*H9</f>
        <v>225000</v>
      </c>
      <c r="J9" s="28"/>
      <c r="K9" s="2" t="s">
        <v>3</v>
      </c>
      <c r="L9" s="3">
        <f>Inputs!B7</f>
        <v>5000000</v>
      </c>
      <c r="M9" s="4">
        <f>Inputs!E10</f>
        <v>4.4999999999999998E-2</v>
      </c>
      <c r="N9" s="3">
        <f t="shared" ref="N9:N13" si="2">L9*M9</f>
        <v>225000</v>
      </c>
      <c r="O9" s="30"/>
    </row>
    <row r="10" spans="1:15" x14ac:dyDescent="0.3">
      <c r="A10" s="2" t="s">
        <v>2</v>
      </c>
      <c r="B10" s="3">
        <f>Inputs!B8</f>
        <v>8000000</v>
      </c>
      <c r="C10" s="4">
        <f>B3</f>
        <v>0.06</v>
      </c>
      <c r="D10" s="3">
        <f t="shared" si="0"/>
        <v>480000</v>
      </c>
      <c r="E10" s="28"/>
      <c r="F10" s="2" t="s">
        <v>2</v>
      </c>
      <c r="G10" s="3">
        <f>Inputs!B8</f>
        <v>8000000</v>
      </c>
      <c r="H10" s="4">
        <f>C3</f>
        <v>7.0000000000000007E-2</v>
      </c>
      <c r="I10" s="3">
        <f t="shared" si="1"/>
        <v>560000</v>
      </c>
      <c r="J10" s="28"/>
      <c r="K10" s="2" t="s">
        <v>2</v>
      </c>
      <c r="L10" s="3">
        <f>Inputs!B8</f>
        <v>8000000</v>
      </c>
      <c r="M10" s="4">
        <f>D3</f>
        <v>0.05</v>
      </c>
      <c r="N10" s="3">
        <f t="shared" si="2"/>
        <v>400000</v>
      </c>
      <c r="O10" s="30"/>
    </row>
    <row r="11" spans="1:15" x14ac:dyDescent="0.3">
      <c r="A11" s="45" t="s">
        <v>5</v>
      </c>
      <c r="B11" s="46"/>
      <c r="C11" s="46"/>
      <c r="D11" s="47"/>
      <c r="E11" s="28"/>
      <c r="F11" s="45" t="s">
        <v>5</v>
      </c>
      <c r="G11" s="46"/>
      <c r="H11" s="46"/>
      <c r="I11" s="47"/>
      <c r="J11" s="28"/>
      <c r="K11" s="45" t="s">
        <v>5</v>
      </c>
      <c r="L11" s="46"/>
      <c r="M11" s="46"/>
      <c r="N11" s="47"/>
      <c r="O11" s="30"/>
    </row>
    <row r="12" spans="1:15" x14ac:dyDescent="0.3">
      <c r="A12" s="2" t="s">
        <v>6</v>
      </c>
      <c r="B12" s="3">
        <f>Inputs!B10</f>
        <v>6000000</v>
      </c>
      <c r="C12" s="4">
        <f>B4</f>
        <v>0.05</v>
      </c>
      <c r="D12" s="3">
        <f t="shared" si="0"/>
        <v>300000</v>
      </c>
      <c r="E12" s="28"/>
      <c r="F12" s="2" t="s">
        <v>6</v>
      </c>
      <c r="G12" s="3">
        <f>Inputs!B10</f>
        <v>6000000</v>
      </c>
      <c r="H12" s="4">
        <f>C4</f>
        <v>6.0000000000000005E-2</v>
      </c>
      <c r="I12" s="3">
        <f t="shared" si="1"/>
        <v>360000</v>
      </c>
      <c r="J12" s="28"/>
      <c r="K12" s="2" t="s">
        <v>6</v>
      </c>
      <c r="L12" s="3">
        <f>Inputs!B10</f>
        <v>6000000</v>
      </c>
      <c r="M12" s="4">
        <f>D4</f>
        <v>0.04</v>
      </c>
      <c r="N12" s="3">
        <f t="shared" si="2"/>
        <v>240000</v>
      </c>
      <c r="O12" s="30"/>
    </row>
    <row r="13" spans="1:15" x14ac:dyDescent="0.3">
      <c r="A13" s="2" t="s">
        <v>24</v>
      </c>
      <c r="B13" s="3">
        <f>Inputs!B11</f>
        <v>4000000</v>
      </c>
      <c r="C13" s="4">
        <f>Inputs!E9</f>
        <v>0.05</v>
      </c>
      <c r="D13" s="3">
        <f t="shared" si="0"/>
        <v>200000</v>
      </c>
      <c r="E13" s="28"/>
      <c r="F13" s="2" t="s">
        <v>24</v>
      </c>
      <c r="G13" s="3">
        <f>Inputs!B11</f>
        <v>4000000</v>
      </c>
      <c r="H13" s="4">
        <f>Inputs!E9</f>
        <v>0.05</v>
      </c>
      <c r="I13" s="3">
        <f t="shared" si="1"/>
        <v>200000</v>
      </c>
      <c r="J13" s="28"/>
      <c r="K13" s="2" t="s">
        <v>24</v>
      </c>
      <c r="L13" s="3">
        <f>Inputs!B11</f>
        <v>4000000</v>
      </c>
      <c r="M13" s="4">
        <f>Inputs!E9</f>
        <v>0.05</v>
      </c>
      <c r="N13" s="3">
        <f t="shared" si="2"/>
        <v>200000</v>
      </c>
      <c r="O13" s="30"/>
    </row>
    <row r="14" spans="1:15" x14ac:dyDescent="0.3">
      <c r="A14" s="45" t="s">
        <v>68</v>
      </c>
      <c r="B14" s="46"/>
      <c r="C14" s="46"/>
      <c r="D14" s="47"/>
      <c r="E14" s="28"/>
      <c r="F14" s="45" t="s">
        <v>68</v>
      </c>
      <c r="G14" s="46"/>
      <c r="H14" s="46"/>
      <c r="I14" s="47"/>
      <c r="J14" s="28"/>
      <c r="K14" s="45" t="s">
        <v>68</v>
      </c>
      <c r="L14" s="46"/>
      <c r="M14" s="46"/>
      <c r="N14" s="47"/>
      <c r="O14" s="30"/>
    </row>
    <row r="15" spans="1:15" x14ac:dyDescent="0.3">
      <c r="A15" s="2" t="s">
        <v>27</v>
      </c>
      <c r="B15" s="3">
        <f>SUM(D8:D10)</f>
        <v>705000</v>
      </c>
      <c r="C15" s="50"/>
      <c r="D15" s="51"/>
      <c r="E15" s="28"/>
      <c r="F15" s="2" t="s">
        <v>27</v>
      </c>
      <c r="G15" s="3">
        <f>SUM(I8:I10)</f>
        <v>785000</v>
      </c>
      <c r="H15" s="56"/>
      <c r="I15" s="56"/>
      <c r="J15" s="28"/>
      <c r="K15" s="2" t="s">
        <v>29</v>
      </c>
      <c r="L15" s="3">
        <f>SUM(N8:N10)</f>
        <v>625000</v>
      </c>
      <c r="M15" s="56"/>
      <c r="N15" s="56"/>
      <c r="O15" s="30"/>
    </row>
    <row r="16" spans="1:15" x14ac:dyDescent="0.3">
      <c r="A16" s="2" t="s">
        <v>28</v>
      </c>
      <c r="B16" s="3">
        <f>SUM(D12:D13)</f>
        <v>500000</v>
      </c>
      <c r="C16" s="52"/>
      <c r="D16" s="53"/>
      <c r="E16" s="28"/>
      <c r="F16" s="2" t="s">
        <v>28</v>
      </c>
      <c r="G16" s="3">
        <f>SUM(I12:I13)</f>
        <v>560000</v>
      </c>
      <c r="H16" s="56"/>
      <c r="I16" s="56"/>
      <c r="J16" s="28"/>
      <c r="K16" s="2" t="s">
        <v>30</v>
      </c>
      <c r="L16" s="3">
        <f>SUM(N12:N13)</f>
        <v>440000</v>
      </c>
      <c r="M16" s="56"/>
      <c r="N16" s="56"/>
      <c r="O16" s="30"/>
    </row>
    <row r="17" spans="1:15" x14ac:dyDescent="0.3">
      <c r="A17" s="2" t="s">
        <v>42</v>
      </c>
      <c r="B17" s="3">
        <f>B15-B16</f>
        <v>205000</v>
      </c>
      <c r="C17" s="54"/>
      <c r="D17" s="55"/>
      <c r="E17" s="28"/>
      <c r="F17" s="2" t="s">
        <v>42</v>
      </c>
      <c r="G17" s="3">
        <f>G15-G16</f>
        <v>225000</v>
      </c>
      <c r="H17" s="56"/>
      <c r="I17" s="56"/>
      <c r="J17" s="28"/>
      <c r="K17" s="2" t="s">
        <v>43</v>
      </c>
      <c r="L17" s="3">
        <f>L15-L16</f>
        <v>185000</v>
      </c>
      <c r="M17" s="56"/>
      <c r="N17" s="56"/>
      <c r="O17" s="30"/>
    </row>
    <row r="18" spans="1:15" x14ac:dyDescent="0.3">
      <c r="A18" s="24"/>
      <c r="B18" s="28"/>
      <c r="C18" s="28"/>
      <c r="D18" s="28"/>
      <c r="E18" s="28"/>
      <c r="F18" s="28"/>
      <c r="G18" s="28"/>
      <c r="H18" s="28"/>
      <c r="I18" s="28"/>
      <c r="J18" s="28"/>
      <c r="K18" s="28"/>
      <c r="L18" s="28"/>
      <c r="M18" s="28"/>
      <c r="N18" s="28"/>
      <c r="O18" s="30"/>
    </row>
    <row r="19" spans="1:15" x14ac:dyDescent="0.3">
      <c r="A19" s="48" t="s">
        <v>34</v>
      </c>
      <c r="B19" s="48"/>
      <c r="C19" s="28"/>
      <c r="D19" s="28"/>
      <c r="E19" s="28"/>
      <c r="F19" s="28"/>
      <c r="G19" s="28"/>
      <c r="H19" s="28"/>
      <c r="I19" s="28"/>
      <c r="J19" s="28"/>
      <c r="K19" s="28"/>
      <c r="L19" s="28"/>
      <c r="M19" s="28"/>
      <c r="N19" s="28"/>
      <c r="O19" s="30"/>
    </row>
    <row r="20" spans="1:15" x14ac:dyDescent="0.3">
      <c r="A20" s="44" t="s">
        <v>35</v>
      </c>
      <c r="B20" s="44"/>
      <c r="C20" s="28"/>
      <c r="D20" s="28"/>
      <c r="E20" s="28"/>
      <c r="F20" s="28"/>
      <c r="G20" s="28"/>
      <c r="H20" s="28"/>
      <c r="I20" s="28"/>
      <c r="J20" s="28"/>
      <c r="K20" s="28"/>
      <c r="L20" s="28"/>
      <c r="M20" s="28"/>
      <c r="N20" s="28"/>
      <c r="O20" s="30"/>
    </row>
    <row r="21" spans="1:15" x14ac:dyDescent="0.3">
      <c r="A21" s="2" t="s">
        <v>31</v>
      </c>
      <c r="B21" s="3">
        <f>B10*Inputs!H6</f>
        <v>400000</v>
      </c>
      <c r="C21" s="28"/>
      <c r="D21" s="28"/>
      <c r="E21" s="28"/>
      <c r="F21" s="28"/>
      <c r="G21" s="28"/>
      <c r="H21" s="28"/>
      <c r="I21" s="28"/>
      <c r="J21" s="28"/>
      <c r="K21" s="28"/>
      <c r="L21" s="28"/>
      <c r="M21" s="28"/>
      <c r="N21" s="28"/>
      <c r="O21" s="30"/>
    </row>
    <row r="22" spans="1:15" x14ac:dyDescent="0.3">
      <c r="A22" s="2" t="s">
        <v>32</v>
      </c>
      <c r="B22" s="14">
        <v>0</v>
      </c>
      <c r="C22" s="28"/>
      <c r="D22" s="28"/>
      <c r="E22" s="28"/>
      <c r="F22" s="28"/>
      <c r="G22" s="28"/>
      <c r="H22" s="28"/>
      <c r="I22" s="28"/>
      <c r="J22" s="28"/>
      <c r="K22" s="28"/>
      <c r="L22" s="28"/>
      <c r="M22" s="28"/>
      <c r="N22" s="28"/>
      <c r="O22" s="30"/>
    </row>
    <row r="23" spans="1:15" x14ac:dyDescent="0.3">
      <c r="A23" s="2" t="s">
        <v>33</v>
      </c>
      <c r="B23" s="3">
        <f>SUM(B21:B22)</f>
        <v>400000</v>
      </c>
      <c r="C23" s="28"/>
      <c r="D23" s="28"/>
      <c r="E23" s="28"/>
      <c r="F23" s="28"/>
      <c r="G23" s="28"/>
      <c r="H23" s="28"/>
      <c r="I23" s="28"/>
      <c r="J23" s="28"/>
      <c r="K23" s="28"/>
      <c r="L23" s="28"/>
      <c r="M23" s="28"/>
      <c r="N23" s="28"/>
      <c r="O23" s="30"/>
    </row>
    <row r="24" spans="1:15" x14ac:dyDescent="0.3">
      <c r="A24" s="44" t="s">
        <v>36</v>
      </c>
      <c r="B24" s="44"/>
      <c r="C24" s="28"/>
      <c r="D24" s="28"/>
      <c r="E24" s="28"/>
      <c r="F24" s="28"/>
      <c r="G24" s="28"/>
      <c r="H24" s="28"/>
      <c r="I24" s="28"/>
      <c r="J24" s="28"/>
      <c r="K24" s="28"/>
      <c r="L24" s="28"/>
      <c r="M24" s="28"/>
      <c r="N24" s="28"/>
      <c r="O24" s="30"/>
    </row>
    <row r="25" spans="1:15" x14ac:dyDescent="0.3">
      <c r="A25" s="2" t="s">
        <v>37</v>
      </c>
      <c r="B25" s="3">
        <f>B12*Inputs!H7</f>
        <v>1200000</v>
      </c>
      <c r="C25" s="28"/>
      <c r="D25" s="28"/>
      <c r="E25" s="28"/>
      <c r="F25" s="28"/>
      <c r="G25" s="28"/>
      <c r="H25" s="28"/>
      <c r="I25" s="28"/>
      <c r="J25" s="28"/>
      <c r="K25" s="28"/>
      <c r="L25" s="28"/>
      <c r="M25" s="28"/>
      <c r="N25" s="28"/>
      <c r="O25" s="30"/>
    </row>
    <row r="26" spans="1:15" x14ac:dyDescent="0.3">
      <c r="A26" s="2" t="s">
        <v>38</v>
      </c>
      <c r="B26" s="14">
        <v>0</v>
      </c>
      <c r="C26" s="28"/>
      <c r="D26" s="28"/>
      <c r="E26" s="28"/>
      <c r="F26" s="28"/>
      <c r="G26" s="28"/>
      <c r="H26" s="28"/>
      <c r="I26" s="28"/>
      <c r="J26" s="28"/>
      <c r="K26" s="28"/>
      <c r="L26" s="28"/>
      <c r="M26" s="28"/>
      <c r="N26" s="28"/>
      <c r="O26" s="30"/>
    </row>
    <row r="27" spans="1:15" x14ac:dyDescent="0.3">
      <c r="A27" s="2" t="s">
        <v>39</v>
      </c>
      <c r="B27" s="3">
        <f>SUM(B25:B26)</f>
        <v>1200000</v>
      </c>
      <c r="C27" s="28"/>
      <c r="D27" s="28"/>
      <c r="E27" s="28"/>
      <c r="F27" s="28"/>
      <c r="G27" s="28"/>
      <c r="H27" s="28"/>
      <c r="I27" s="28"/>
      <c r="J27" s="28"/>
      <c r="K27" s="28"/>
      <c r="L27" s="28"/>
      <c r="M27" s="28"/>
      <c r="N27" s="28"/>
      <c r="O27" s="30"/>
    </row>
    <row r="28" spans="1:15" x14ac:dyDescent="0.3">
      <c r="A28" s="44" t="s">
        <v>69</v>
      </c>
      <c r="B28" s="44"/>
      <c r="C28" s="28"/>
      <c r="D28" s="28"/>
      <c r="E28" s="28"/>
      <c r="F28" s="28"/>
      <c r="G28" s="28"/>
      <c r="H28" s="28"/>
      <c r="I28" s="28"/>
      <c r="J28" s="28"/>
      <c r="K28" s="28"/>
      <c r="L28" s="28"/>
      <c r="M28" s="28"/>
      <c r="N28" s="28"/>
      <c r="O28" s="30"/>
    </row>
    <row r="29" spans="1:15" x14ac:dyDescent="0.3">
      <c r="A29" s="2" t="s">
        <v>40</v>
      </c>
      <c r="B29" s="3">
        <f>B8+B23-B27</f>
        <v>1200000</v>
      </c>
      <c r="C29" s="28"/>
      <c r="D29" s="28"/>
      <c r="E29" s="28"/>
      <c r="F29" s="28"/>
      <c r="G29" s="28"/>
      <c r="H29" s="28"/>
      <c r="I29" s="28"/>
      <c r="J29" s="28"/>
      <c r="K29" s="28"/>
      <c r="L29" s="28"/>
      <c r="M29" s="28"/>
      <c r="N29" s="28"/>
      <c r="O29" s="30"/>
    </row>
    <row r="30" spans="1:15" x14ac:dyDescent="0.3">
      <c r="A30" s="2" t="s">
        <v>41</v>
      </c>
      <c r="B30" s="3">
        <f>(B8+B23)/B27</f>
        <v>2</v>
      </c>
      <c r="C30" s="28"/>
      <c r="D30" s="28"/>
      <c r="E30" s="28"/>
      <c r="F30" s="28"/>
      <c r="G30" s="28"/>
      <c r="H30" s="28"/>
      <c r="I30" s="28"/>
      <c r="J30" s="28"/>
      <c r="K30" s="28"/>
      <c r="L30" s="28"/>
      <c r="M30" s="28"/>
      <c r="N30" s="28"/>
      <c r="O30" s="30"/>
    </row>
    <row r="31" spans="1:15" x14ac:dyDescent="0.3">
      <c r="A31" s="32"/>
      <c r="B31" s="33"/>
      <c r="C31" s="33"/>
      <c r="D31" s="33"/>
      <c r="E31" s="33"/>
      <c r="F31" s="33"/>
      <c r="G31" s="33"/>
      <c r="H31" s="33"/>
      <c r="I31" s="33"/>
      <c r="J31" s="33"/>
      <c r="K31" s="33"/>
      <c r="L31" s="33"/>
      <c r="M31" s="33"/>
      <c r="N31" s="33"/>
      <c r="O31" s="34"/>
    </row>
  </sheetData>
  <mergeCells count="16">
    <mergeCell ref="A6:D6"/>
    <mergeCell ref="F6:I6"/>
    <mergeCell ref="K6:N6"/>
    <mergeCell ref="C15:D17"/>
    <mergeCell ref="H15:I17"/>
    <mergeCell ref="M15:N17"/>
    <mergeCell ref="A11:D11"/>
    <mergeCell ref="F11:I11"/>
    <mergeCell ref="K11:N11"/>
    <mergeCell ref="K14:N14"/>
    <mergeCell ref="A20:B20"/>
    <mergeCell ref="A24:B24"/>
    <mergeCell ref="A28:B28"/>
    <mergeCell ref="A14:D14"/>
    <mergeCell ref="F14:I14"/>
    <mergeCell ref="A19:B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B47F5-9AFE-413A-A60E-24C7C0888579}">
  <dimension ref="A1:I21"/>
  <sheetViews>
    <sheetView tabSelected="1" zoomScale="98" workbookViewId="0">
      <selection activeCell="K15" sqref="K15"/>
    </sheetView>
  </sheetViews>
  <sheetFormatPr defaultRowHeight="14.4" x14ac:dyDescent="0.3"/>
  <cols>
    <col min="1" max="1" width="15" bestFit="1" customWidth="1"/>
    <col min="2" max="2" width="11.5546875" bestFit="1" customWidth="1"/>
    <col min="3" max="3" width="7.88671875" bestFit="1" customWidth="1"/>
    <col min="6" max="6" width="15" bestFit="1" customWidth="1"/>
    <col min="7" max="7" width="15.5546875" bestFit="1" customWidth="1"/>
    <col min="9" max="9" width="83.21875" style="23" customWidth="1"/>
  </cols>
  <sheetData>
    <row r="1" spans="1:9" x14ac:dyDescent="0.3">
      <c r="A1" s="49" t="s">
        <v>47</v>
      </c>
      <c r="B1" s="49"/>
      <c r="C1" s="49"/>
      <c r="D1" s="49"/>
      <c r="E1" s="17"/>
      <c r="F1" s="49" t="s">
        <v>12</v>
      </c>
      <c r="G1" s="49"/>
      <c r="H1" s="49"/>
      <c r="I1" s="20"/>
    </row>
    <row r="2" spans="1:9" x14ac:dyDescent="0.3">
      <c r="A2" s="1" t="s">
        <v>19</v>
      </c>
      <c r="B2" s="1" t="s">
        <v>46</v>
      </c>
      <c r="C2" s="1" t="s">
        <v>72</v>
      </c>
      <c r="D2" s="1" t="s">
        <v>73</v>
      </c>
      <c r="E2" s="18"/>
      <c r="F2" s="1" t="s">
        <v>19</v>
      </c>
      <c r="G2" s="1" t="s">
        <v>48</v>
      </c>
      <c r="H2" s="1" t="s">
        <v>49</v>
      </c>
      <c r="I2" s="19"/>
    </row>
    <row r="3" spans="1:9" x14ac:dyDescent="0.3">
      <c r="A3" s="2" t="s">
        <v>20</v>
      </c>
      <c r="B3" s="3">
        <f>Model!B17</f>
        <v>205000</v>
      </c>
      <c r="C3" s="3">
        <f>B3-$B$3</f>
        <v>0</v>
      </c>
      <c r="D3" s="4">
        <f>IFERROR(B3/$B$3-1,0)</f>
        <v>0</v>
      </c>
      <c r="E3" s="16"/>
      <c r="F3" s="2" t="s">
        <v>20</v>
      </c>
      <c r="G3" s="13">
        <f>Model!B29</f>
        <v>1200000</v>
      </c>
      <c r="H3" s="13">
        <f>Model!B30</f>
        <v>2</v>
      </c>
      <c r="I3" s="19"/>
    </row>
    <row r="4" spans="1:9" x14ac:dyDescent="0.3">
      <c r="A4" s="2" t="s">
        <v>44</v>
      </c>
      <c r="B4" s="3">
        <f>Model!G17</f>
        <v>225000</v>
      </c>
      <c r="C4" s="3">
        <f t="shared" ref="C4:C5" si="0">B4-$B$3</f>
        <v>20000</v>
      </c>
      <c r="D4" s="4">
        <f>IFERROR(B4/$B$3-1,0)</f>
        <v>9.7560975609756184E-2</v>
      </c>
      <c r="E4" s="16"/>
      <c r="F4" s="2" t="s">
        <v>44</v>
      </c>
      <c r="G4" s="13">
        <f>Model!B29</f>
        <v>1200000</v>
      </c>
      <c r="H4" s="13">
        <f>Model!B30</f>
        <v>2</v>
      </c>
      <c r="I4" s="19"/>
    </row>
    <row r="5" spans="1:9" x14ac:dyDescent="0.3">
      <c r="A5" s="2" t="s">
        <v>45</v>
      </c>
      <c r="B5" s="3">
        <f>Model!L17</f>
        <v>185000</v>
      </c>
      <c r="C5" s="3">
        <f t="shared" si="0"/>
        <v>-20000</v>
      </c>
      <c r="D5" s="4">
        <f>IFERROR(B5/$B$3-1,0)</f>
        <v>-9.7560975609756073E-2</v>
      </c>
      <c r="E5" s="16"/>
      <c r="F5" s="2" t="s">
        <v>45</v>
      </c>
      <c r="G5" s="13">
        <f>Model!B29</f>
        <v>1200000</v>
      </c>
      <c r="H5" s="13">
        <f>Model!B30</f>
        <v>2</v>
      </c>
      <c r="I5" s="19"/>
    </row>
    <row r="6" spans="1:9" x14ac:dyDescent="0.3">
      <c r="A6" s="5"/>
      <c r="I6" s="19"/>
    </row>
    <row r="7" spans="1:9" x14ac:dyDescent="0.3">
      <c r="A7" s="5"/>
      <c r="I7" s="21" t="s">
        <v>70</v>
      </c>
    </row>
    <row r="8" spans="1:9" x14ac:dyDescent="0.3">
      <c r="A8" s="5"/>
      <c r="I8" s="19"/>
    </row>
    <row r="9" spans="1:9" ht="28.8" x14ac:dyDescent="0.3">
      <c r="A9" s="5"/>
      <c r="I9" s="19" t="s">
        <v>74</v>
      </c>
    </row>
    <row r="10" spans="1:9" x14ac:dyDescent="0.3">
      <c r="A10" s="5"/>
      <c r="I10" s="19"/>
    </row>
    <row r="11" spans="1:9" x14ac:dyDescent="0.3">
      <c r="A11" s="5"/>
      <c r="I11" s="19" t="s">
        <v>51</v>
      </c>
    </row>
    <row r="12" spans="1:9" x14ac:dyDescent="0.3">
      <c r="A12" s="5"/>
      <c r="I12" s="19"/>
    </row>
    <row r="13" spans="1:9" ht="28.8" x14ac:dyDescent="0.3">
      <c r="A13" s="5"/>
      <c r="I13" s="19" t="s">
        <v>50</v>
      </c>
    </row>
    <row r="14" spans="1:9" x14ac:dyDescent="0.3">
      <c r="A14" s="5"/>
      <c r="I14" s="19"/>
    </row>
    <row r="15" spans="1:9" ht="43.2" x14ac:dyDescent="0.3">
      <c r="A15" s="5"/>
      <c r="I15" s="19" t="s">
        <v>76</v>
      </c>
    </row>
    <row r="16" spans="1:9" x14ac:dyDescent="0.3">
      <c r="A16" s="5"/>
      <c r="I16" s="19"/>
    </row>
    <row r="17" spans="1:9" x14ac:dyDescent="0.3">
      <c r="A17" s="5"/>
      <c r="I17" s="19"/>
    </row>
    <row r="18" spans="1:9" x14ac:dyDescent="0.3">
      <c r="A18" s="5"/>
      <c r="I18" s="19"/>
    </row>
    <row r="19" spans="1:9" x14ac:dyDescent="0.3">
      <c r="A19" s="5"/>
      <c r="I19" s="19"/>
    </row>
    <row r="20" spans="1:9" x14ac:dyDescent="0.3">
      <c r="A20" s="5"/>
      <c r="I20" s="19"/>
    </row>
    <row r="21" spans="1:9" x14ac:dyDescent="0.3">
      <c r="A21" s="7"/>
      <c r="B21" s="15"/>
      <c r="C21" s="15"/>
      <c r="D21" s="15"/>
      <c r="E21" s="15"/>
      <c r="F21" s="15"/>
      <c r="G21" s="15"/>
      <c r="H21" s="15"/>
      <c r="I21" s="22"/>
    </row>
  </sheetData>
  <mergeCells count="2">
    <mergeCell ref="F1:H1"/>
    <mergeCell ref="A1:D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Inputs</vt:lpstr>
      <vt:lpstr>Model</vt:lpstr>
      <vt:lpstr>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 Yang</dc:creator>
  <cp:lastModifiedBy>Rick Yang</cp:lastModifiedBy>
  <dcterms:created xsi:type="dcterms:W3CDTF">2015-06-05T18:17:20Z</dcterms:created>
  <dcterms:modified xsi:type="dcterms:W3CDTF">2026-01-04T20:09:30Z</dcterms:modified>
</cp:coreProperties>
</file>